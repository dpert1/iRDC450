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e/Desktop/NE450 iRDC/"/>
    </mc:Choice>
  </mc:AlternateContent>
  <xr:revisionPtr revIDLastSave="0" documentId="13_ncr:1_{3F2D14D6-2763-004A-9689-857B2DF61737}" xr6:coauthVersionLast="47" xr6:coauthVersionMax="47" xr10:uidLastSave="{00000000-0000-0000-0000-000000000000}"/>
  <bookViews>
    <workbookView xWindow="4600" yWindow="3220" windowWidth="25920" windowHeight="14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  <c r="C55" i="1"/>
  <c r="C56" i="1"/>
  <c r="C57" i="1"/>
  <c r="E54" i="1"/>
  <c r="E55" i="1"/>
  <c r="E56" i="1"/>
  <c r="E57" i="1"/>
  <c r="C2" i="1"/>
  <c r="E2" i="1" s="1"/>
  <c r="C3" i="1"/>
  <c r="C4" i="1"/>
  <c r="E4" i="1" s="1"/>
  <c r="C5" i="1"/>
  <c r="C6" i="1"/>
  <c r="C7" i="1"/>
  <c r="E7" i="1" s="1"/>
  <c r="C8" i="1"/>
  <c r="E8" i="1" s="1"/>
  <c r="C9" i="1"/>
  <c r="E9" i="1" s="1"/>
  <c r="C10" i="1"/>
  <c r="C11" i="1"/>
  <c r="C12" i="1"/>
  <c r="C13" i="1"/>
  <c r="C14" i="1"/>
  <c r="C15" i="1"/>
  <c r="E15" i="1" s="1"/>
  <c r="C16" i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C27" i="1"/>
  <c r="C28" i="1"/>
  <c r="E28" i="1" s="1"/>
  <c r="C29" i="1"/>
  <c r="C30" i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C44" i="1"/>
  <c r="C45" i="1"/>
  <c r="C46" i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E27" i="1"/>
  <c r="E3" i="1"/>
  <c r="E5" i="1"/>
  <c r="E6" i="1"/>
  <c r="E10" i="1"/>
  <c r="E11" i="1"/>
  <c r="E12" i="1"/>
  <c r="E13" i="1"/>
  <c r="E14" i="1"/>
  <c r="E16" i="1"/>
  <c r="E26" i="1"/>
  <c r="E29" i="1"/>
  <c r="E30" i="1"/>
  <c r="E43" i="1"/>
  <c r="E44" i="1"/>
  <c r="E45" i="1"/>
  <c r="E46" i="1"/>
</calcChain>
</file>

<file path=xl/sharedStrings.xml><?xml version="1.0" encoding="utf-8"?>
<sst xmlns="http://schemas.openxmlformats.org/spreadsheetml/2006/main" count="172" uniqueCount="118">
  <si>
    <t>Filename</t>
  </si>
  <si>
    <t>eqn num 25-1</t>
  </si>
  <si>
    <t>file_path</t>
  </si>
  <si>
    <t>Column1</t>
  </si>
  <si>
    <t>column</t>
  </si>
  <si>
    <t>left</t>
  </si>
  <si>
    <t>right</t>
  </si>
  <si>
    <t>eq01_swu</t>
  </si>
  <si>
    <t>eq02-1_feed_factor</t>
  </si>
  <si>
    <t>eq02-2_waste_factor</t>
  </si>
  <si>
    <t>eq03_separation_potential</t>
  </si>
  <si>
    <t>eq04_num_stages</t>
  </si>
  <si>
    <t>eq05_gaseous_diffusion_alpha</t>
  </si>
  <si>
    <t>eq06_centrifuge_alpha</t>
  </si>
  <si>
    <t>eq07-1_k_inf</t>
  </si>
  <si>
    <t>eq07-2_k</t>
  </si>
  <si>
    <t>eq08-1_l_inf</t>
  </si>
  <si>
    <t>eq08-2_l</t>
  </si>
  <si>
    <t>eq09_bomb_alpha</t>
  </si>
  <si>
    <t>eq10-1_neutron_population</t>
  </si>
  <si>
    <t>eq10-2_fission_yield</t>
  </si>
  <si>
    <t>eq11_expansion_velocity</t>
  </si>
  <si>
    <t>eq12_adjusted_xs</t>
  </si>
  <si>
    <t>eq13_fusion_yield</t>
  </si>
  <si>
    <t>eq14_fusion_yield_sphere</t>
  </si>
  <si>
    <t>eq15-1_reaction_rate_density</t>
  </si>
  <si>
    <t>eq15-2_fusion_atoms</t>
  </si>
  <si>
    <t>eq16_dd_reactivity</t>
  </si>
  <si>
    <t>eq17_dt_reactivity</t>
  </si>
  <si>
    <t>eq18_burn_radius</t>
  </si>
  <si>
    <t>eq19_xray_spectrum</t>
  </si>
  <si>
    <t>eq20-1_xray_fluence</t>
  </si>
  <si>
    <t>eq20-2_xray_yield</t>
  </si>
  <si>
    <t>eq21_planck_integral</t>
  </si>
  <si>
    <t>eq22_xray_deposition</t>
  </si>
  <si>
    <t>eq23_xray_pressure</t>
  </si>
  <si>
    <t>eq24_fireball_radius</t>
  </si>
  <si>
    <t>eq25_max_thermal_power_low</t>
  </si>
  <si>
    <t>eq25_time_max_thermal_low</t>
  </si>
  <si>
    <t>eq26_max_thermal_power_high</t>
  </si>
  <si>
    <t>eq26_time_max_thermal_high</t>
  </si>
  <si>
    <t>eq27_total_thermal_energy</t>
  </si>
  <si>
    <t>eq28_thermal_fluence_cm</t>
  </si>
  <si>
    <t>eq29_thermal_fluence_kft</t>
  </si>
  <si>
    <t>eq30_thermal_fluence_miles</t>
  </si>
  <si>
    <t>eq31_slant_range_cube_scaling</t>
  </si>
  <si>
    <t>eq32_distance_time_height_cube_scaling</t>
  </si>
  <si>
    <t>eq33_altitude_scaling_factors</t>
  </si>
  <si>
    <t>eq34_altitude_scaling</t>
  </si>
  <si>
    <t>eq35_crater_scaling</t>
  </si>
  <si>
    <t>eq36_crater_volume</t>
  </si>
  <si>
    <t>eq37_crater_dimensions</t>
  </si>
  <si>
    <t>2-1</t>
  </si>
  <si>
    <t>2-2</t>
  </si>
  <si>
    <t>3</t>
  </si>
  <si>
    <t>4</t>
  </si>
  <si>
    <t>5</t>
  </si>
  <si>
    <t>6</t>
  </si>
  <si>
    <t>9</t>
  </si>
  <si>
    <t>7-1</t>
  </si>
  <si>
    <t>7-2</t>
  </si>
  <si>
    <t>8-1</t>
  </si>
  <si>
    <t>8-2</t>
  </si>
  <si>
    <t>10-1</t>
  </si>
  <si>
    <t>10-2</t>
  </si>
  <si>
    <t>11</t>
  </si>
  <si>
    <t>12</t>
  </si>
  <si>
    <t>13</t>
  </si>
  <si>
    <t>14</t>
  </si>
  <si>
    <t>15-1</t>
  </si>
  <si>
    <t>15-2</t>
  </si>
  <si>
    <t>16</t>
  </si>
  <si>
    <t>17</t>
  </si>
  <si>
    <t>18</t>
  </si>
  <si>
    <t>19</t>
  </si>
  <si>
    <t>20-1</t>
  </si>
  <si>
    <t>20-2</t>
  </si>
  <si>
    <t>21</t>
  </si>
  <si>
    <t>22</t>
  </si>
  <si>
    <t>23</t>
  </si>
  <si>
    <t>24</t>
  </si>
  <si>
    <t>25-1</t>
  </si>
  <si>
    <t>25-2</t>
  </si>
  <si>
    <t>26-1</t>
  </si>
  <si>
    <t>26-2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</si>
  <si>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</si>
  <si>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</si>
  <si>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</si>
  <si>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</si>
  <si>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</si>
  <si>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</si>
  <si>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</si>
  <si>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</si>
  <si>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</si>
  <si>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</si>
  <si>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</si>
  <si>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eq38-1_initial_dose</t>
  </si>
  <si>
    <t>eq38-2_dose_equivalent</t>
  </si>
  <si>
    <t>eq39_residual_dose_rate</t>
  </si>
  <si>
    <t>eq40_accumulated_dose</t>
  </si>
  <si>
    <t>eq41_dose_equivalent</t>
  </si>
  <si>
    <t>eq42_photon_attenuation</t>
  </si>
  <si>
    <t>eq43_mass_atten_coeff</t>
  </si>
  <si>
    <t>eq44-1_linear_attn_coef</t>
  </si>
  <si>
    <t>eq44-2_mean_free_path</t>
  </si>
  <si>
    <t>eq45-1_number_density</t>
  </si>
  <si>
    <t>eq45-2_macro_xs</t>
  </si>
  <si>
    <t>38-1</t>
  </si>
  <si>
    <t>38-2</t>
  </si>
  <si>
    <t>39</t>
  </si>
  <si>
    <t>40</t>
  </si>
  <si>
    <t>41</t>
  </si>
  <si>
    <t>42</t>
  </si>
  <si>
    <t>43</t>
  </si>
  <si>
    <t>44-1</t>
  </si>
  <si>
    <t>44-2</t>
  </si>
  <si>
    <t>45-1</t>
  </si>
  <si>
    <t>45-2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</si>
</sst>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50593-72DE-4A15-9A31-43CE7E764B03}" name="Table1" displayName="Table1" ref="A1:E57" totalsRowShown="0">
  <autoFilter ref="A1:E57" xr:uid="{CE150593-72DE-4A15-9A31-43CE7E764B03}"/>
  <sortState xmlns:xlrd2="http://schemas.microsoft.com/office/spreadsheetml/2017/richdata2" ref="A2:B53">
    <sortCondition ref="B1:B53"/>
  </sortState>
  <tableColumns count="5">
    <tableColumn id="2" xr3:uid="{1D61EDF4-3B78-4D0F-BA18-6CFCB17C9F87}" name="Filename"/>
    <tableColumn id="3" xr3:uid="{B155AABD-1E11-462A-821E-212EAA6708A8}" name="eqn num 25-1" dataDxfId="0"/>
    <tableColumn id="4" xr3:uid="{B82CD5ED-5B1E-4887-BBD3-EA184D61B670}" name="file_path" dataDxfId="1">
      <calculatedColumnFormula>_xlfn.CONCAT("equations/",Table1[[#This Row],[Filename]],".html")</calculatedColumnFormula>
    </tableColumn>
    <tableColumn id="6" xr3:uid="{88D5E90E-5811-490F-9DEC-3A5FC0DB4CC7}" name="column"/>
    <tableColumn id="5" xr3:uid="{62B0671E-0A2C-40FA-A3CF-7C431CF9E880}" name="Column1" dataDxfId="2">
      <calculatedColumnFormula>_xlfn.CONCAT("initializeClickableArea(svgElement,",CHAR(39),"prc-",Table1[[#This Row],[eqn num 25-1]], CHAR(39),",",CHAR(39),Table1[[#This Row],[file_path]],CHAR(39),",",CHAR(39),Table1[[#This Row],[column]],CHAR(39),");")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E2" sqref="E2:E57"/>
    </sheetView>
  </sheetViews>
  <sheetFormatPr baseColWidth="10" defaultColWidth="8.83203125" defaultRowHeight="15" x14ac:dyDescent="0.2"/>
  <cols>
    <col min="1" max="1" width="46.5" bestFit="1" customWidth="1"/>
    <col min="2" max="2" width="13.83203125" customWidth="1"/>
    <col min="3" max="3" width="19.83203125" customWidth="1"/>
    <col min="4" max="4" width="20" customWidth="1"/>
    <col min="5" max="5" width="96.5" bestFit="1" customWidth="1"/>
  </cols>
  <sheetData>
    <row r="1" spans="1:5" x14ac:dyDescent="0.2">
      <c r="A1" s="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 t="s">
        <v>7</v>
      </c>
      <c r="B2" s="2">
        <v>1</v>
      </c>
      <c r="C2" t="str">
        <f>_xlfn.CONCAT("equations/",Table1[[#This Row],[Filename]],".html")</f>
        <v>equations/eq01_swu.html</v>
      </c>
      <c r="D2" t="s">
        <v>5</v>
      </c>
      <c r="E2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initializeClickableArea(svgElement,'prc-1','equations/eq01_swu.html','left');</v>
      </c>
    </row>
    <row r="3" spans="1:5" x14ac:dyDescent="0.2">
      <c r="A3" t="s">
        <v>8</v>
      </c>
      <c r="B3" s="2" t="s">
        <v>52</v>
      </c>
      <c r="C3" t="str">
        <f>_xlfn.CONCAT("equations/",Table1[[#This Row],[Filename]],".html")</f>
        <v>equations/eq02-1_feed_factor.html</v>
      </c>
      <c r="D3" t="s">
        <v>5</v>
      </c>
      <c r="E3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initializeClickableArea(svgElement,'prc-2-1','equations/eq02-1_feed_factor.html','left');</v>
      </c>
    </row>
    <row r="4" spans="1:5" x14ac:dyDescent="0.2">
      <c r="A4" t="s">
        <v>9</v>
      </c>
      <c r="B4" s="2" t="s">
        <v>53</v>
      </c>
      <c r="C4" t="str">
        <f>_xlfn.CONCAT("equations/",Table1[[#This Row],[Filename]],".html")</f>
        <v>equations/eq02-2_waste_factor.html</v>
      </c>
      <c r="D4" t="s">
        <v>5</v>
      </c>
      <c r="E4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initializeClickableArea(svgElement,'prc-2-2','equations/eq02-2_waste_factor.html','left');</v>
      </c>
    </row>
    <row r="5" spans="1:5" x14ac:dyDescent="0.2">
      <c r="A5" t="s">
        <v>10</v>
      </c>
      <c r="B5" s="2" t="s">
        <v>54</v>
      </c>
      <c r="C5" t="str">
        <f>_xlfn.CONCAT("equations/",Table1[[#This Row],[Filename]],".html")</f>
        <v>equations/eq03_separation_potential.html</v>
      </c>
      <c r="D5" t="s">
        <v>5</v>
      </c>
      <c r="E5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initializeClickableArea(svgElement,'prc-3','equations/eq03_separation_potential.html','left');</v>
      </c>
    </row>
    <row r="6" spans="1:5" x14ac:dyDescent="0.2">
      <c r="A6" t="s">
        <v>11</v>
      </c>
      <c r="B6" s="2" t="s">
        <v>55</v>
      </c>
      <c r="C6" t="str">
        <f>_xlfn.CONCAT("equations/",Table1[[#This Row],[Filename]],".html")</f>
        <v>equations/eq04_num_stages.html</v>
      </c>
      <c r="D6" t="s">
        <v>5</v>
      </c>
      <c r="E6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initializeClickableArea(svgElement,'prc-4','equations/eq04_num_stages.html','left');</v>
      </c>
    </row>
    <row r="7" spans="1:5" x14ac:dyDescent="0.2">
      <c r="A7" t="s">
        <v>12</v>
      </c>
      <c r="B7" s="2" t="s">
        <v>56</v>
      </c>
      <c r="C7" t="str">
        <f>_xlfn.CONCAT("equations/",Table1[[#This Row],[Filename]],".html")</f>
        <v>equations/eq05_gaseous_diffusion_alpha.html</v>
      </c>
      <c r="D7" t="s">
        <v>5</v>
      </c>
      <c r="E7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initializeClickableArea(svgElement,'prc-5','equations/eq05_gaseous_diffusion_alpha.html','left');</v>
      </c>
    </row>
    <row r="8" spans="1:5" x14ac:dyDescent="0.2">
      <c r="A8" t="s">
        <v>13</v>
      </c>
      <c r="B8" s="2" t="s">
        <v>57</v>
      </c>
      <c r="C8" t="str">
        <f>_xlfn.CONCAT("equations/",Table1[[#This Row],[Filename]],".html")</f>
        <v>equations/eq06_centrifuge_alpha.html</v>
      </c>
      <c r="D8" t="s">
        <v>5</v>
      </c>
      <c r="E8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initializeClickableArea(svgElement,'prc-6','equations/eq06_centrifuge_alpha.html','left');</v>
      </c>
    </row>
    <row r="9" spans="1:5" x14ac:dyDescent="0.2">
      <c r="A9" t="s">
        <v>14</v>
      </c>
      <c r="B9" s="2" t="s">
        <v>59</v>
      </c>
      <c r="C9" t="str">
        <f>_xlfn.CONCAT("equations/",Table1[[#This Row],[Filename]],".html")</f>
        <v>equations/eq07-1_k_inf.html</v>
      </c>
      <c r="D9" t="s">
        <v>5</v>
      </c>
      <c r="E9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initializeClickableArea(svgElement,'prc-7-1','equations/eq07-1_k_inf.html','left');</v>
      </c>
    </row>
    <row r="10" spans="1:5" x14ac:dyDescent="0.2">
      <c r="A10" t="s">
        <v>15</v>
      </c>
      <c r="B10" s="2" t="s">
        <v>60</v>
      </c>
      <c r="C10" t="str">
        <f>_xlfn.CONCAT("equations/",Table1[[#This Row],[Filename]],".html")</f>
        <v>equations/eq07-2_k.html</v>
      </c>
      <c r="D10" t="s">
        <v>5</v>
      </c>
      <c r="E10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initializeClickableArea(svgElement,'prc-7-2','equations/eq07-2_k.html','left');</v>
      </c>
    </row>
    <row r="11" spans="1:5" x14ac:dyDescent="0.2">
      <c r="A11" t="s">
        <v>16</v>
      </c>
      <c r="B11" s="2" t="s">
        <v>61</v>
      </c>
      <c r="C11" t="str">
        <f>_xlfn.CONCAT("equations/",Table1[[#This Row],[Filename]],".html")</f>
        <v>equations/eq08-1_l_inf.html</v>
      </c>
      <c r="D11" t="s">
        <v>5</v>
      </c>
      <c r="E11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initializeClickableArea(svgElement,'prc-8-1','equations/eq08-1_l_inf.html','left');</v>
      </c>
    </row>
    <row r="12" spans="1:5" x14ac:dyDescent="0.2">
      <c r="A12" t="s">
        <v>17</v>
      </c>
      <c r="B12" s="2" t="s">
        <v>62</v>
      </c>
      <c r="C12" t="str">
        <f>_xlfn.CONCAT("equations/",Table1[[#This Row],[Filename]],".html")</f>
        <v>equations/eq08-2_l.html</v>
      </c>
      <c r="D12" t="s">
        <v>5</v>
      </c>
      <c r="E12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initializeClickableArea(svgElement,'prc-8-2','equations/eq08-2_l.html','left');</v>
      </c>
    </row>
    <row r="13" spans="1:5" x14ac:dyDescent="0.2">
      <c r="A13" t="s">
        <v>18</v>
      </c>
      <c r="B13" s="2" t="s">
        <v>58</v>
      </c>
      <c r="C13" t="str">
        <f>_xlfn.CONCAT("equations/",Table1[[#This Row],[Filename]],".html")</f>
        <v>equations/eq09_bomb_alpha.html</v>
      </c>
      <c r="D13" t="s">
        <v>5</v>
      </c>
      <c r="E13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initializeClickableArea(svgElement,'prc-9','equations/eq09_bomb_alpha.html','left');</v>
      </c>
    </row>
    <row r="14" spans="1:5" x14ac:dyDescent="0.2">
      <c r="A14" t="s">
        <v>19</v>
      </c>
      <c r="B14" s="2" t="s">
        <v>63</v>
      </c>
      <c r="C14" t="str">
        <f>_xlfn.CONCAT("equations/",Table1[[#This Row],[Filename]],".html")</f>
        <v>equations/eq10-1_neutron_population.html</v>
      </c>
      <c r="D14" t="s">
        <v>5</v>
      </c>
      <c r="E14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initializeClickableArea(svgElement,'prc-10-1','equations/eq10-1_neutron_population.html','left');</v>
      </c>
    </row>
    <row r="15" spans="1:5" x14ac:dyDescent="0.2">
      <c r="A15" t="s">
        <v>20</v>
      </c>
      <c r="B15" s="2" t="s">
        <v>64</v>
      </c>
      <c r="C15" t="str">
        <f>_xlfn.CONCAT("equations/",Table1[[#This Row],[Filename]],".html")</f>
        <v>equations/eq10-2_fission_yield.html</v>
      </c>
      <c r="D15" t="s">
        <v>5</v>
      </c>
      <c r="E15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initializeClickableArea(svgElement,'prc-10-2','equations/eq10-2_fission_yield.html','left');</v>
      </c>
    </row>
    <row r="16" spans="1:5" x14ac:dyDescent="0.2">
      <c r="A16" t="s">
        <v>21</v>
      </c>
      <c r="B16" s="2" t="s">
        <v>65</v>
      </c>
      <c r="C16" t="str">
        <f>_xlfn.CONCAT("equations/",Table1[[#This Row],[Filename]],".html")</f>
        <v>equations/eq11_expansion_velocity.html</v>
      </c>
      <c r="D16" t="s">
        <v>5</v>
      </c>
      <c r="E16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initializeClickableArea(svgElement,'prc-11','equations/eq11_expansion_velocity.html','left');</v>
      </c>
    </row>
    <row r="17" spans="1:5" x14ac:dyDescent="0.2">
      <c r="A17" t="s">
        <v>22</v>
      </c>
      <c r="B17" s="2" t="s">
        <v>66</v>
      </c>
      <c r="C17" t="str">
        <f>_xlfn.CONCAT("equations/",Table1[[#This Row],[Filename]],".html")</f>
        <v>equations/eq12_adjusted_xs.html</v>
      </c>
      <c r="D17" t="s">
        <v>5</v>
      </c>
      <c r="E17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initializeClickableArea(svgElement,'prc-12','equations/eq12_adjusted_xs.html','left');</v>
      </c>
    </row>
    <row r="18" spans="1:5" x14ac:dyDescent="0.2">
      <c r="A18" t="s">
        <v>23</v>
      </c>
      <c r="B18" s="2" t="s">
        <v>67</v>
      </c>
      <c r="C18" t="str">
        <f>_xlfn.CONCAT("equations/",Table1[[#This Row],[Filename]],".html")</f>
        <v>equations/eq13_fusion_yield.html</v>
      </c>
      <c r="D18" t="s">
        <v>5</v>
      </c>
      <c r="E18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initializeClickableArea(svgElement,'prc-13','equations/eq13_fusion_yield.html','left');</v>
      </c>
    </row>
    <row r="19" spans="1:5" x14ac:dyDescent="0.2">
      <c r="A19" t="s">
        <v>24</v>
      </c>
      <c r="B19" s="2" t="s">
        <v>68</v>
      </c>
      <c r="C19" t="str">
        <f>_xlfn.CONCAT("equations/",Table1[[#This Row],[Filename]],".html")</f>
        <v>equations/eq14_fusion_yield_sphere.html</v>
      </c>
      <c r="D19" t="s">
        <v>5</v>
      </c>
      <c r="E19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initializeClickableArea(svgElement,'prc-14','equations/eq14_fusion_yield_sphere.html','left');</v>
      </c>
    </row>
    <row r="20" spans="1:5" x14ac:dyDescent="0.2">
      <c r="A20" t="s">
        <v>25</v>
      </c>
      <c r="B20" s="2" t="s">
        <v>69</v>
      </c>
      <c r="C20" t="str">
        <f>_xlfn.CONCAT("equations/",Table1[[#This Row],[Filename]],".html")</f>
        <v>equations/eq15-1_reaction_rate_density.html</v>
      </c>
      <c r="D20" t="s">
        <v>5</v>
      </c>
      <c r="E20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initializeClickableArea(svgElement,'prc-15-1','equations/eq15-1_reaction_rate_density.html','left');</v>
      </c>
    </row>
    <row r="21" spans="1:5" x14ac:dyDescent="0.2">
      <c r="A21" t="s">
        <v>26</v>
      </c>
      <c r="B21" s="2" t="s">
        <v>70</v>
      </c>
      <c r="C21" t="str">
        <f>_xlfn.CONCAT("equations/",Table1[[#This Row],[Filename]],".html")</f>
        <v>equations/eq15-2_fusion_atoms.html</v>
      </c>
      <c r="D21" t="s">
        <v>5</v>
      </c>
      <c r="E21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initializeClickableArea(svgElement,'prc-15-2','equations/eq15-2_fusion_atoms.html','left');</v>
      </c>
    </row>
    <row r="22" spans="1:5" x14ac:dyDescent="0.2">
      <c r="A22" t="s">
        <v>27</v>
      </c>
      <c r="B22" s="2" t="s">
        <v>71</v>
      </c>
      <c r="C22" t="str">
        <f>_xlfn.CONCAT("equations/",Table1[[#This Row],[Filename]],".html")</f>
        <v>equations/eq16_dd_reactivity.html</v>
      </c>
      <c r="D22" t="s">
        <v>5</v>
      </c>
      <c r="E22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initializeClickableArea(svgElement,'prc-16','equations/eq16_dd_reactivity.html','left');</v>
      </c>
    </row>
    <row r="23" spans="1:5" x14ac:dyDescent="0.2">
      <c r="A23" t="s">
        <v>28</v>
      </c>
      <c r="B23" s="2" t="s">
        <v>72</v>
      </c>
      <c r="C23" t="str">
        <f>_xlfn.CONCAT("equations/",Table1[[#This Row],[Filename]],".html")</f>
        <v>equations/eq17_dt_reactivity.html</v>
      </c>
      <c r="D23" t="s">
        <v>5</v>
      </c>
      <c r="E23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initializeClickableArea(svgElement,'prc-17','equations/eq17_dt_reactivity.html','left');</v>
      </c>
    </row>
    <row r="24" spans="1:5" x14ac:dyDescent="0.2">
      <c r="A24" t="s">
        <v>29</v>
      </c>
      <c r="B24" s="2" t="s">
        <v>73</v>
      </c>
      <c r="C24" t="str">
        <f>_xlfn.CONCAT("equations/",Table1[[#This Row],[Filename]],".html")</f>
        <v>equations/eq18_burn_radius.html</v>
      </c>
      <c r="D24" t="s">
        <v>5</v>
      </c>
      <c r="E24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initializeClickableArea(svgElement,'prc-18','equations/eq18_burn_radius.html','left');</v>
      </c>
    </row>
    <row r="25" spans="1:5" x14ac:dyDescent="0.2">
      <c r="A25" t="s">
        <v>30</v>
      </c>
      <c r="B25" s="2" t="s">
        <v>74</v>
      </c>
      <c r="C25" t="str">
        <f>_xlfn.CONCAT("equations/",Table1[[#This Row],[Filename]],".html")</f>
        <v>equations/eq19_xray_spectrum.html</v>
      </c>
      <c r="D25" t="s">
        <v>6</v>
      </c>
      <c r="E25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initializeClickableArea(svgElement,'prc-19','equations/eq19_xray_spectrum.html','right');</v>
      </c>
    </row>
    <row r="26" spans="1:5" x14ac:dyDescent="0.2">
      <c r="A26" t="s">
        <v>31</v>
      </c>
      <c r="B26" s="2" t="s">
        <v>75</v>
      </c>
      <c r="C26" t="str">
        <f>_xlfn.CONCAT("equations/",Table1[[#This Row],[Filename]],".html")</f>
        <v>equations/eq20-1_xray_fluence.html</v>
      </c>
      <c r="D26" t="s">
        <v>6</v>
      </c>
      <c r="E26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initializeClickableArea(svgElement,'prc-20-1','equations/eq20-1_xray_fluence.html','right');</v>
      </c>
    </row>
    <row r="27" spans="1:5" x14ac:dyDescent="0.2">
      <c r="A27" t="s">
        <v>32</v>
      </c>
      <c r="B27" s="2" t="s">
        <v>76</v>
      </c>
      <c r="C27" t="str">
        <f>_xlfn.CONCAT("equations/",Table1[[#This Row],[Filename]],".html")</f>
        <v>equations/eq20-2_xray_yield.html</v>
      </c>
      <c r="D27" t="s">
        <v>6</v>
      </c>
      <c r="E27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initializeClickableArea(svgElement,'prc-20-2','equations/eq20-2_xray_yield.html','right');</v>
      </c>
    </row>
    <row r="28" spans="1:5" x14ac:dyDescent="0.2">
      <c r="A28" t="s">
        <v>33</v>
      </c>
      <c r="B28" s="2" t="s">
        <v>77</v>
      </c>
      <c r="C28" t="str">
        <f>_xlfn.CONCAT("equations/",Table1[[#This Row],[Filename]],".html")</f>
        <v>equations/eq21_planck_integral.html</v>
      </c>
      <c r="D28" t="s">
        <v>6</v>
      </c>
      <c r="E28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initializeClickableArea(svgElement,'prc-21','equations/eq21_planck_integral.html','right');</v>
      </c>
    </row>
    <row r="29" spans="1:5" x14ac:dyDescent="0.2">
      <c r="A29" t="s">
        <v>34</v>
      </c>
      <c r="B29" s="2" t="s">
        <v>78</v>
      </c>
      <c r="C29" t="str">
        <f>_xlfn.CONCAT("equations/",Table1[[#This Row],[Filename]],".html")</f>
        <v>equations/eq22_xray_deposition.html</v>
      </c>
      <c r="D29" t="s">
        <v>6</v>
      </c>
      <c r="E29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initializeClickableArea(svgElement,'prc-22','equations/eq22_xray_deposition.html','right');</v>
      </c>
    </row>
    <row r="30" spans="1:5" x14ac:dyDescent="0.2">
      <c r="A30" t="s">
        <v>35</v>
      </c>
      <c r="B30" s="2" t="s">
        <v>79</v>
      </c>
      <c r="C30" t="str">
        <f>_xlfn.CONCAT("equations/",Table1[[#This Row],[Filename]],".html")</f>
        <v>equations/eq23_xray_pressure.html</v>
      </c>
      <c r="D30" t="s">
        <v>6</v>
      </c>
      <c r="E30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initializeClickableArea(svgElement,'prc-23','equations/eq23_xray_pressure.html','right');</v>
      </c>
    </row>
    <row r="31" spans="1:5" x14ac:dyDescent="0.2">
      <c r="A31" t="s">
        <v>36</v>
      </c>
      <c r="B31" s="2" t="s">
        <v>80</v>
      </c>
      <c r="C31" t="str">
        <f>_xlfn.CONCAT("equations/",Table1[[#This Row],[Filename]],".html")</f>
        <v>equations/eq24_fireball_radius.html</v>
      </c>
      <c r="D31" t="s">
        <v>6</v>
      </c>
      <c r="E31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initializeClickableArea(svgElement,'prc-24','equations/eq24_fireball_radius.html','right');</v>
      </c>
    </row>
    <row r="32" spans="1:5" x14ac:dyDescent="0.2">
      <c r="A32" t="s">
        <v>37</v>
      </c>
      <c r="B32" s="2" t="s">
        <v>81</v>
      </c>
      <c r="C32" t="str">
        <f>_xlfn.CONCAT("equations/",Table1[[#This Row],[Filename]],".html")</f>
        <v>equations/eq25_max_thermal_power_low.html</v>
      </c>
      <c r="D32" t="s">
        <v>6</v>
      </c>
      <c r="E32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initializeClickableArea(svgElement,'prc-25-1','equations/eq25_max_thermal_power_low.html','right');</v>
      </c>
    </row>
    <row r="33" spans="1:5" x14ac:dyDescent="0.2">
      <c r="A33" t="s">
        <v>38</v>
      </c>
      <c r="B33" s="2" t="s">
        <v>82</v>
      </c>
      <c r="C33" t="str">
        <f>_xlfn.CONCAT("equations/",Table1[[#This Row],[Filename]],".html")</f>
        <v>equations/eq25_time_max_thermal_low.html</v>
      </c>
      <c r="D33" t="s">
        <v>6</v>
      </c>
      <c r="E33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initializeClickableArea(svgElement,'prc-25-2','equations/eq25_time_max_thermal_low.html','right');</v>
      </c>
    </row>
    <row r="34" spans="1:5" x14ac:dyDescent="0.2">
      <c r="A34" t="s">
        <v>39</v>
      </c>
      <c r="B34" s="2" t="s">
        <v>83</v>
      </c>
      <c r="C34" t="str">
        <f>_xlfn.CONCAT("equations/",Table1[[#This Row],[Filename]],".html")</f>
        <v>equations/eq26_max_thermal_power_high.html</v>
      </c>
      <c r="D34" t="s">
        <v>6</v>
      </c>
      <c r="E34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initializeClickableArea(svgElement,'prc-26-1','equations/eq26_max_thermal_power_high.html','right');</v>
      </c>
    </row>
    <row r="35" spans="1:5" x14ac:dyDescent="0.2">
      <c r="A35" t="s">
        <v>40</v>
      </c>
      <c r="B35" s="2" t="s">
        <v>84</v>
      </c>
      <c r="C35" t="str">
        <f>_xlfn.CONCAT("equations/",Table1[[#This Row],[Filename]],".html")</f>
        <v>equations/eq26_time_max_thermal_high.html</v>
      </c>
      <c r="D35" t="s">
        <v>6</v>
      </c>
      <c r="E35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initializeClickableArea(svgElement,'prc-26-2','equations/eq26_time_max_thermal_high.html','right');</v>
      </c>
    </row>
    <row r="36" spans="1:5" x14ac:dyDescent="0.2">
      <c r="A36" t="s">
        <v>41</v>
      </c>
      <c r="B36" s="2" t="s">
        <v>85</v>
      </c>
      <c r="C36" t="str">
        <f>_xlfn.CONCAT("equations/",Table1[[#This Row],[Filename]],".html")</f>
        <v>equations/eq27_total_thermal_energy.html</v>
      </c>
      <c r="D36" t="s">
        <v>6</v>
      </c>
      <c r="E36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initializeClickableArea(svgElement,'prc-27','equations/eq27_total_thermal_energy.html','right');</v>
      </c>
    </row>
    <row r="37" spans="1:5" x14ac:dyDescent="0.2">
      <c r="A37" t="s">
        <v>42</v>
      </c>
      <c r="B37" s="2" t="s">
        <v>86</v>
      </c>
      <c r="C37" t="str">
        <f>_xlfn.CONCAT("equations/",Table1[[#This Row],[Filename]],".html")</f>
        <v>equations/eq28_thermal_fluence_cm.html</v>
      </c>
      <c r="D37" t="s">
        <v>6</v>
      </c>
      <c r="E37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initializeClickableArea(svgElement,'prc-28','equations/eq28_thermal_fluence_cm.html','right');</v>
      </c>
    </row>
    <row r="38" spans="1:5" x14ac:dyDescent="0.2">
      <c r="A38" t="s">
        <v>43</v>
      </c>
      <c r="B38" s="2" t="s">
        <v>87</v>
      </c>
      <c r="C38" t="str">
        <f>_xlfn.CONCAT("equations/",Table1[[#This Row],[Filename]],".html")</f>
        <v>equations/eq29_thermal_fluence_kft.html</v>
      </c>
      <c r="D38" t="s">
        <v>6</v>
      </c>
      <c r="E38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initializeClickableArea(svgElement,'prc-29','equations/eq29_thermal_fluence_kft.html','right');</v>
      </c>
    </row>
    <row r="39" spans="1:5" x14ac:dyDescent="0.2">
      <c r="A39" t="s">
        <v>44</v>
      </c>
      <c r="B39" s="2" t="s">
        <v>88</v>
      </c>
      <c r="C39" t="str">
        <f>_xlfn.CONCAT("equations/",Table1[[#This Row],[Filename]],".html")</f>
        <v>equations/eq30_thermal_fluence_miles.html</v>
      </c>
      <c r="D39" t="s">
        <v>6</v>
      </c>
      <c r="E39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initializeClickableArea(svgElement,'prc-30','equations/eq30_thermal_fluence_miles.html','right');</v>
      </c>
    </row>
    <row r="40" spans="1:5" x14ac:dyDescent="0.2">
      <c r="A40" t="s">
        <v>45</v>
      </c>
      <c r="B40" s="2" t="s">
        <v>89</v>
      </c>
      <c r="C40" t="str">
        <f>_xlfn.CONCAT("equations/",Table1[[#This Row],[Filename]],".html")</f>
        <v>equations/eq31_slant_range_cube_scaling.html</v>
      </c>
      <c r="D40" t="s">
        <v>6</v>
      </c>
      <c r="E40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initializeClickableArea(svgElement,'prc-31','equations/eq31_slant_range_cube_scaling.html','right');</v>
      </c>
    </row>
    <row r="41" spans="1:5" x14ac:dyDescent="0.2">
      <c r="A41" t="s">
        <v>46</v>
      </c>
      <c r="B41" s="2" t="s">
        <v>90</v>
      </c>
      <c r="C41" t="str">
        <f>_xlfn.CONCAT("equations/",Table1[[#This Row],[Filename]],".html")</f>
        <v>equations/eq32_distance_time_height_cube_scaling.html</v>
      </c>
      <c r="D41" t="s">
        <v>6</v>
      </c>
      <c r="E41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initializeClickableArea(svgElement,'prc-32','equations/eq32_distance_time_height_cube_scaling.html','right');</v>
      </c>
    </row>
    <row r="42" spans="1:5" x14ac:dyDescent="0.2">
      <c r="A42" t="s">
        <v>47</v>
      </c>
      <c r="B42" s="2" t="s">
        <v>91</v>
      </c>
      <c r="C42" t="str">
        <f>_xlfn.CONCAT("equations/",Table1[[#This Row],[Filename]],".html")</f>
        <v>equations/eq33_altitude_scaling_factors.html</v>
      </c>
      <c r="D42" t="s">
        <v>6</v>
      </c>
      <c r="E42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initializeClickableArea(svgElement,'prc-33','equations/eq33_altitude_scaling_factors.html','right');</v>
      </c>
    </row>
    <row r="43" spans="1:5" x14ac:dyDescent="0.2">
      <c r="A43" t="s">
        <v>48</v>
      </c>
      <c r="B43" s="2" t="s">
        <v>92</v>
      </c>
      <c r="C43" t="str">
        <f>_xlfn.CONCAT("equations/",Table1[[#This Row],[Filename]],".html")</f>
        <v>equations/eq34_altitude_scaling.html</v>
      </c>
      <c r="D43" t="s">
        <v>6</v>
      </c>
      <c r="E43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initializeClickableArea(svgElement,'prc-34','equations/eq34_altitude_scaling.html','right');</v>
      </c>
    </row>
    <row r="44" spans="1:5" x14ac:dyDescent="0.2">
      <c r="A44" t="s">
        <v>49</v>
      </c>
      <c r="B44" s="2" t="s">
        <v>93</v>
      </c>
      <c r="C44" t="str">
        <f>_xlfn.CONCAT("equations/",Table1[[#This Row],[Filename]],".html")</f>
        <v>equations/eq35_crater_scaling.html</v>
      </c>
      <c r="D44" t="s">
        <v>6</v>
      </c>
      <c r="E44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initializeClickableArea(svgElement,'prc-35','equations/eq35_crater_scaling.html','right');</v>
      </c>
    </row>
    <row r="45" spans="1:5" x14ac:dyDescent="0.2">
      <c r="A45" t="s">
        <v>50</v>
      </c>
      <c r="B45" s="2" t="s">
        <v>94</v>
      </c>
      <c r="C45" t="str">
        <f>_xlfn.CONCAT("equations/",Table1[[#This Row],[Filename]],".html")</f>
        <v>equations/eq36_crater_volume.html</v>
      </c>
      <c r="D45" t="s">
        <v>6</v>
      </c>
      <c r="E45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initializeClickableArea(svgElement,'prc-36','equations/eq36_crater_volume.html','right');</v>
      </c>
    </row>
    <row r="46" spans="1:5" x14ac:dyDescent="0.2">
      <c r="A46" t="s">
        <v>51</v>
      </c>
      <c r="B46" s="2" t="s">
        <v>95</v>
      </c>
      <c r="C46" t="str">
        <f>_xlfn.CONCAT("equations/",Table1[[#This Row],[Filename]],".html")</f>
        <v>equations/eq37_crater_dimensions.html</v>
      </c>
      <c r="D46" t="s">
        <v>6</v>
      </c>
      <c r="E46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initializeClickableArea(svgElement,'prc-37','equations/eq37_crater_dimensions.html','right');</v>
      </c>
    </row>
    <row r="47" spans="1:5" x14ac:dyDescent="0.2">
      <c r="A47" t="s">
        <v>96</v>
      </c>
      <c r="B47" s="2" t="s">
        <v>107</v>
      </c>
      <c r="C47" t="str">
        <f>_xlfn.CONCAT("equations/",Table1[[#This Row],[Filename]],".html")</f>
        <v>equations/eq38-1_initial_dose.html</v>
      </c>
      <c r="D47" t="s">
        <v>5</v>
      </c>
      <c r="E47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initializeClickableArea(svgElement,'prc-38-1','equations/eq38-1_initial_dose.html','left');</v>
      </c>
    </row>
    <row r="48" spans="1:5" x14ac:dyDescent="0.2">
      <c r="A48" t="s">
        <v>97</v>
      </c>
      <c r="B48" s="2" t="s">
        <v>108</v>
      </c>
      <c r="C48" t="str">
        <f>_xlfn.CONCAT("equations/",Table1[[#This Row],[Filename]],".html")</f>
        <v>equations/eq38-2_dose_equivalent.html</v>
      </c>
      <c r="D48" t="s">
        <v>5</v>
      </c>
      <c r="E48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initializeClickableArea(svgElement,'prc-38-2','equations/eq38-2_dose_equivalent.html','left');</v>
      </c>
    </row>
    <row r="49" spans="1:5" x14ac:dyDescent="0.2">
      <c r="A49" t="s">
        <v>98</v>
      </c>
      <c r="B49" s="2" t="s">
        <v>109</v>
      </c>
      <c r="C49" t="str">
        <f>_xlfn.CONCAT("equations/",Table1[[#This Row],[Filename]],".html")</f>
        <v>equations/eq39_residual_dose_rate.html</v>
      </c>
      <c r="D49" t="s">
        <v>5</v>
      </c>
      <c r="E49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initializeClickableArea(svgElement,'prc-39','equations/eq39_residual_dose_rate.html','left');</v>
      </c>
    </row>
    <row r="50" spans="1:5" x14ac:dyDescent="0.2">
      <c r="A50" t="s">
        <v>99</v>
      </c>
      <c r="B50" s="2" t="s">
        <v>110</v>
      </c>
      <c r="C50" t="str">
        <f>_xlfn.CONCAT("equations/",Table1[[#This Row],[Filename]],".html")</f>
        <v>equations/eq40_accumulated_dose.html</v>
      </c>
      <c r="D50" t="s">
        <v>5</v>
      </c>
      <c r="E50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initializeClickableArea(svgElement,'prc-40','equations/eq40_accumulated_dose.html','left');</v>
      </c>
    </row>
    <row r="51" spans="1:5" x14ac:dyDescent="0.2">
      <c r="A51" t="s">
        <v>100</v>
      </c>
      <c r="B51" s="2" t="s">
        <v>111</v>
      </c>
      <c r="C51" t="str">
        <f>_xlfn.CONCAT("equations/",Table1[[#This Row],[Filename]],".html")</f>
        <v>equations/eq41_dose_equivalent.html</v>
      </c>
      <c r="D51" t="s">
        <v>5</v>
      </c>
      <c r="E51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initializeClickableArea(svgElement,'prc-41','equations/eq41_dose_equivalent.html','left');</v>
      </c>
    </row>
    <row r="52" spans="1:5" x14ac:dyDescent="0.2">
      <c r="A52" t="s">
        <v>101</v>
      </c>
      <c r="B52" s="2" t="s">
        <v>112</v>
      </c>
      <c r="C52" t="str">
        <f>_xlfn.CONCAT("equations/",Table1[[#This Row],[Filename]],".html")</f>
        <v>equations/eq42_photon_attenuation.html</v>
      </c>
      <c r="D52" t="s">
        <v>5</v>
      </c>
      <c r="E52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initializeClickableArea(svgElement,'prc-42','equations/eq42_photon_attenuation.html','left');</v>
      </c>
    </row>
    <row r="53" spans="1:5" x14ac:dyDescent="0.2">
      <c r="A53" t="s">
        <v>102</v>
      </c>
      <c r="B53" s="2" t="s">
        <v>113</v>
      </c>
      <c r="C53" t="str">
        <f>_xlfn.CONCAT("equations/",Table1[[#This Row],[Filename]],".html")</f>
        <v>equations/eq43_mass_atten_coeff.html</v>
      </c>
      <c r="D53" t="s">
        <v>5</v>
      </c>
      <c r="E53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initializeClickableArea(svgElement,'prc-43','equations/eq43_mass_atten_coeff.html','left');</v>
      </c>
    </row>
    <row r="54" spans="1:5" x14ac:dyDescent="0.2">
      <c r="A54" t="s">
        <v>103</v>
      </c>
      <c r="B54" s="2" t="s">
        <v>114</v>
      </c>
      <c r="C54" s="3" t="str">
        <f>_xlfn.CONCAT("equations/",Table1[[#This Row],[Filename]],".html")</f>
        <v>equations/eq44-1_linear_attn_coef.html</v>
      </c>
      <c r="D54" t="s">
        <v>5</v>
      </c>
      <c r="E54" s="3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initializeClickableArea(svgElement,'prc-44-1','equations/eq44-1_linear_attn_coef.html','left');</v>
      </c>
    </row>
    <row r="55" spans="1:5" x14ac:dyDescent="0.2">
      <c r="A55" t="s">
        <v>104</v>
      </c>
      <c r="B55" s="2" t="s">
        <v>115</v>
      </c>
      <c r="C55" s="3" t="str">
        <f>_xlfn.CONCAT("equations/",Table1[[#This Row],[Filename]],".html")</f>
        <v>equations/eq44-2_mean_free_path.html</v>
      </c>
      <c r="D55" t="s">
        <v>5</v>
      </c>
      <c r="E55" s="3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initializeClickableArea(svgElement,'prc-44-2','equations/eq44-2_mean_free_path.html','left');</v>
      </c>
    </row>
    <row r="56" spans="1:5" x14ac:dyDescent="0.2">
      <c r="A56" t="s">
        <v>105</v>
      </c>
      <c r="B56" s="2" t="s">
        <v>116</v>
      </c>
      <c r="C56" s="3" t="str">
        <f>_xlfn.CONCAT("equations/",Table1[[#This Row],[Filename]],".html")</f>
        <v>equations/eq45-1_number_density.html</v>
      </c>
      <c r="D56" t="s">
        <v>5</v>
      </c>
      <c r="E56" s="3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initializeClickableArea(svgElement,'prc-45-1','equations/eq45-1_number_density.html','left');</v>
      </c>
    </row>
    <row r="57" spans="1:5" x14ac:dyDescent="0.2">
      <c r="A57" t="s">
        <v>106</v>
      </c>
      <c r="B57" s="2" t="s">
        <v>117</v>
      </c>
      <c r="C57" s="3" t="str">
        <f>_xlfn.CONCAT("equations/",Table1[[#This Row],[Filename]],".html")</f>
        <v>equations/eq45-2_macro_xs.html</v>
      </c>
      <c r="D57" t="s">
        <v>5</v>
      </c>
      <c r="E57" s="3" t="str">
        <f>_xlfn.CONCAT("initializeClickableArea(svgElement,",CHAR(39),"prc-",Table1[[#This Row],[eqn num 25-1]], CHAR(39),",",CHAR(39),Table1[[#This Row],[file_path]],CHAR(39),",",CHAR(39),Table1[[#This Row],[column]],CHAR(39),");")</f>
        <v>initializeClickableArea(svgElement,'prc-45-2','equations/eq45-2_macro_xs.html','left');</v>
      </c>
    </row>
  </sheetData>
  <phoneticPr fontId="2" type="noConversion"/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F6B10415C8C49BA03E9B44330F302" ma:contentTypeVersion="21" ma:contentTypeDescription="Create a new document." ma:contentTypeScope="" ma:versionID="d2f04db8b3c2a259c3b209b0fb633f0b">
  <xsd:schema xmlns:xsd="http://www.w3.org/2001/XMLSchema" xmlns:xs="http://www.w3.org/2001/XMLSchema" xmlns:p="http://schemas.microsoft.com/office/2006/metadata/properties" xmlns:ns2="84f26b50-9c23-4a46-98fb-ee8fb2c6a919" xmlns:ns3="0d21ce45-ac74-4917-b707-0621347fb97b" targetNamespace="http://schemas.microsoft.com/office/2006/metadata/properties" ma:root="true" ma:fieldsID="7ef73b67afa61ebbd86f1e3fc965bf5a" ns2:_="" ns3:_="">
    <xsd:import namespace="84f26b50-9c23-4a46-98fb-ee8fb2c6a919"/>
    <xsd:import namespace="0d21ce45-ac74-4917-b707-0621347fb9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26b50-9c23-4a46-98fb-ee8fb2c6a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362c7eb-5c45-4d0a-8479-4b30401fca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1ce45-ac74-4917-b707-0621347fb97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7a39fc5-cc54-4ca7-840a-bd239df6c75a}" ma:internalName="TaxCatchAll" ma:showField="CatchAllData" ma:web="0d21ce45-ac74-4917-b707-0621347fb9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21ce45-ac74-4917-b707-0621347fb97b" xsi:nil="true"/>
    <lcf76f155ced4ddcb4097134ff3c332f xmlns="84f26b50-9c23-4a46-98fb-ee8fb2c6a9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9085A0-AF5A-4305-8B8B-1628CB3D22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3EEBA9-39F3-4F06-BF8A-F7B6900D3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f26b50-9c23-4a46-98fb-ee8fb2c6a919"/>
    <ds:schemaRef ds:uri="0d21ce45-ac74-4917-b707-0621347fb9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19BAE9-671E-4FF5-9212-DF9C257459CD}">
  <ds:schemaRefs>
    <ds:schemaRef ds:uri="http://schemas.microsoft.com/office/2006/metadata/properties"/>
    <ds:schemaRef ds:uri="http://schemas.microsoft.com/office/infopath/2007/PartnerControls"/>
    <ds:schemaRef ds:uri="0d21ce45-ac74-4917-b707-0621347fb97b"/>
    <ds:schemaRef ds:uri="84f26b50-9c23-4a46-98fb-ee8fb2c6a9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Pert, Dave MAJ</cp:lastModifiedBy>
  <dcterms:created xsi:type="dcterms:W3CDTF">2024-09-20T00:38:37Z</dcterms:created>
  <dcterms:modified xsi:type="dcterms:W3CDTF">2026-01-22T20:19:50Z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0x010100191F6B10415C8C49BA03E9B44330F302</vt:lpwstr>
  </property>
</Properties>
</file>